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jtani\Downloads\"/>
    </mc:Choice>
  </mc:AlternateContent>
  <xr:revisionPtr revIDLastSave="0" documentId="13_ncr:1_{F24F2A7E-815A-4AD5-AFC3-8DAF0280D5F3}" xr6:coauthVersionLast="47" xr6:coauthVersionMax="47" xr10:uidLastSave="{00000000-0000-0000-0000-000000000000}"/>
  <bookViews>
    <workbookView xWindow="-110" yWindow="-110" windowWidth="19420" windowHeight="10300" xr2:uid="{81D512C5-DFD0-45A9-BA7A-3679803E1A90}"/>
  </bookViews>
  <sheets>
    <sheet name="Dashboard 2.0" sheetId="3" r:id="rId1"/>
    <sheet name="RAW DATA" sheetId="1" r:id="rId2"/>
  </sheets>
  <definedNames>
    <definedName name="Slicer_Region1">#N/A</definedName>
  </definedNames>
  <calcPr calcId="191029"/>
  <pivotCaches>
    <pivotCache cacheId="9"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<sst xmlns="http://schemas.openxmlformats.org/spreadsheetml/2006/main" count="463" uniqueCount="305">
  <si>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</si>
  <si>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</si>
  <si>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</si>
  <si>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</si>
  <si>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</si>
  <si>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</si>
  <si>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</si>
  <si>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</si>
  <si>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</si>
  <si>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</si>
  <si>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</si>
  <si>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</si>
  <si>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</si>
  <si>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</si>
  <si>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</si>
  <si>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</si>
  <si>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</si>
  <si>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</si>
  <si>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</si>
  <si>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</si>
  <si>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</si>
  <si>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</si>
  <si>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</si>
  <si>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</si>
  <si>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</si>
  <si>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</si>
  <si>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</si>
  <si>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</si>
  <si>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</si>
  <si>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</si>
  <si>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</si>
  <si>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</si>
  <si>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</si>
  <si>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</si>
  <si>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</si>
  <si>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</si>
  <si>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</si>
  <si>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</si>
  <si>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</si>
  <si>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</si>
  <si>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</si>
  <si>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</si>
  <si>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</si>
  <si>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</si>
  <si>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</si>
  <si>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</si>
  <si>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</si>
  <si>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</si>
  <si>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</si>
  <si>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</si>
  <si>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</si>
  <si>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</si>
  <si>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</si>
  <si>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</si>
  <si>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</si>
  <si>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</si>
  <si>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</si>
  <si>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</si>
  <si>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</si>
  <si>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</si>
  <si>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</si>
  <si>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</si>
  <si>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</si>
  <si>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</si>
  <si>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</si>
  <si>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</si>
  <si>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</si>
  <si>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</si>
  <si>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</si>
  <si>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</si>
  <si>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</si>
  <si>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</si>
  <si>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</si>
  <si>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</si>
  <si>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</si>
  <si>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</si>
  <si>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</si>
  <si>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</si>
  <si>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</si>
  <si>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</si>
  <si>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</si>
  <si>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</si>
  <si>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</si>
  <si>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</si>
  <si>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</si>
  <si>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</si>
  <si>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</si>
  <si>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</si>
  <si>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</si>
  <si>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</si>
  <si>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</si>
  <si>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</si>
  <si>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</si>
  <si>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</si>
  <si>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</si>
  <si>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</si>
  <si>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</si>
  <si>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</si>
  <si>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</si>
  <si>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</si>
  <si>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</si>
  <si>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</si>
  <si>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</si>
  <si>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</si>
  <si>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</si>
  <si>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</si>
  <si>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</si>
  <si>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</si>
  <si>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</si>
  <si>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</si>
  <si>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</si>
  <si>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</si>
  <si>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</si>
  <si>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</si>
  <si>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</si>
  <si>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</si>
  <si>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</si>
  <si>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</si>
  <si>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</si>
  <si>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</si>
  <si>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</si>
  <si>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</si>
  <si>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</si>
  <si>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</si>
  <si>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</si>
  <si>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</si>
  <si>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</si>
  <si>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</si>
  <si>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</si>
  <si>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</si>
  <si>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</si>
  <si>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</si>
  <si>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</si>
  <si>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</si>
  <si>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</si>
  <si>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</si>
  <si>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</si>
  <si>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</si>
  <si>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</si>
  <si>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</si>
  <si>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</si>
  <si>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</si>
  <si>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</si>
  <si>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</si>
  <si>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</si>
  <si>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</si>
  <si>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</si>
  <si>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</si>
  <si>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</si>
  <si>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</si>
  <si>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</si>
  <si>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</si>
  <si>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</si>
  <si>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</si>
  <si>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</si>
  <si>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</si>
  <si>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</si>
  <si>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</si>
  <si>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</si>
  <si>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</si>
  <si>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</si>
  <si>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</si>
  <si>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</si>
  <si>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</si>
  <si>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</si>
  <si>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</si>
  <si>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</si>
  <si>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</si>
  <si>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</si>
  <si>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</si>
  <si>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</si>
  <si>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</si>
  <si>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</si>
  <si>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</si>
  <si>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</si>
  <si>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</si>
  <si>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</si>
  <si>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</si>
  <si>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</si>
  <si>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</si>
  <si>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</si>
  <si>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</si>
  <si>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</si>
  <si>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</si>
  <si>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</si>
  <si>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</si>
  <si>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</si>
  <si>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</si>
  <si>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</si>
  <si>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</si>
  <si>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</si>
  <si>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</si>
  <si>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</si>
  <si>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</si>
  <si>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</si>
  <si>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</si>
  <si>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</si>
  <si>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</si>
  <si>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</si>
  <si>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</si>
  <si>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</si>
  <si>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</si>
  <si>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</si>
  <si>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</si>
  <si>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</si>
  <si>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</si>
  <si>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</si>
  <si>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</si>
  <si>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</si>
  <si>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</si>
  <si>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</si>
  <si>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</si>
  <si>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</si>
  <si>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</si>
  <si>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</si>
  <si>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</si>
  <si>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</si>
  <si>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</si>
  <si>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</si>
  <si>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</si>
  <si>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</si>
  <si>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</si>
  <si>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</si>
  <si>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</si>
  <si>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</si>
  <si>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</si>
  <si>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</si>
  <si>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</si>
  <si>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</si>
  <si>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</si>
  <si>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</si>
  <si>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</si>
  <si>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</si>
  <si>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</si>
  <si>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</si>
  <si>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</si>
  <si>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</si>
  <si>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</si>
  <si>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</si>
  <si>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</si>
  <si>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</si>
  <si>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</si>
  <si>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</si>
  <si>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</si>
  <si>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</si>
  <si>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</si>
  <si>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</si>
  <si>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</si>
  <si>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</si>
  <si>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</si>
  <si>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</si>
  <si>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</si>
  <si>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</si>
  <si>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</si>
  <si>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</si>
  <si>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</si>
  <si>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</si>
  <si>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</si>
  <si>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</si>
  <si>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</si>
  <si>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</si>
  <si>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</si>
  <si>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</si>
  <si>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</si>
  <si>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</si>
  <si>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</si>
  <si>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</si>
  <si>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</si>
  <si>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</si>
  <si>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</si>
  <si>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</si>
  <si>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</si>
  <si>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</si>
  <si>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</si>
  <si>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</si>
  <si>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</si>
  <si>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</si>
  <si>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</si>
  <si>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</si>
  <si>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</si>
  <si>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</si>
  <si>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</si>
  <si>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</si>
  <si>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</si>
  <si>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</si>
  <si>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</si>
  <si>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</si>
  <si>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</si>
  <si>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</si>
  <si>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</si>
  <si>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</si>
  <si>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</si>
  <si>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</si>
  <si>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</si>
  <si>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</si>
  <si>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</si>
  <si>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</si>
  <si>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</si>
  <si>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</si>
  <si>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</si>
  <si>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</si>
  <si>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</si>
  <si>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</si>
  <si>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%wise</t>
  </si>
  <si>
    <t>Away From Target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</si>
</sst>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0.14999847407452621"/>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xf numFmtId="0" fontId="0" fillId="5" borderId="0" xfId="0" applyFill="1"/>
    <xf numFmtId="0" fontId="0" fillId="0" borderId="0" xfId="0" applyNumberFormat="1"/>
  </cellXfs>
  <cellStyles count="2">
    <cellStyle name="Normal" xfId="0" builtinId="0"/>
    <cellStyle name="Percent" xfId="1" builtinId="5"/>
  </cellStyles>
  <dxfs count="2">
    <dxf>
      <fill>
        <patternFill>
          <bgColor theme="0" tint="-0.499984740745262"/>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C3C3BE80-2B72-411A-BBA0-A04ACD5A257D}">
      <tableStyleElement type="wholeTable" dxfId="0"/>
    </tableStyle>
  </tableStyles>
  <extLst>
    <ext xmlns:x14="http://schemas.microsoft.com/office/spreadsheetml/2009/9/main" uri="{46F421CA-312F-682f-3DD2-61675219B42D}">
      <x14:dxfs count="8">
        <dxf>
          <font>
            <color theme="0"/>
          </font>
          <fill>
            <patternFill>
              <bgColor theme="1"/>
            </patternFill>
          </fill>
        </dxf>
        <dxf>
          <font>
            <color theme="0"/>
          </font>
          <fill>
            <patternFill>
              <bgColor theme="1"/>
            </patternFill>
          </fill>
        </dxf>
        <dxf>
          <font>
            <color theme="0"/>
          </font>
          <fill>
            <patternFill>
              <bgColor theme="1"/>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Dashboard.xlsm]Dashboard 2.0!PivotTable1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 2.0'!$B$3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2.0'!$A$4:$A$8</c:f>
              <c:strCache>
                <c:ptCount val="5"/>
                <c:pt idx="0">
                  <c:v>Anikuttan</c:v>
                </c:pt>
                <c:pt idx="1">
                  <c:v>Arvind Sharma</c:v>
                </c:pt>
                <c:pt idx="2">
                  <c:v>Jagdish Chandra</c:v>
                </c:pt>
                <c:pt idx="3">
                  <c:v>Miny Mole</c:v>
                </c:pt>
                <c:pt idx="4">
                  <c:v>Rachita Anupam</c:v>
                </c:pt>
              </c:strCache>
            </c:strRef>
          </c:cat>
          <c:val>
            <c:numRef>
              <c:f>'Dashboard 2.0'!$B$4:$B$8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1A9D-4C63-96AF-C119E74CDFE2}"/>
            </c:ext>
          </c:extLst>
        </c:ser>
        <c:dLbls>
          <c:showLegendKey val="0"/>
          <c:showVal val="0"/>
          <c:showCatName val="0"/>
          <c:showSerName val="0"/>
          <c:showPercent val="0"/>
          <c:showBubbleSize val="0"/>
        </c:dLbls>
        <c:gapWidth val="182"/>
        <c:axId val="879244287"/>
        <c:axId val="879238527"/>
      </c:barChart>
      <c:catAx>
        <c:axId val="8792442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9238527"/>
        <c:crosses val="autoZero"/>
        <c:auto val="1"/>
        <c:lblAlgn val="ctr"/>
        <c:lblOffset val="100"/>
        <c:noMultiLvlLbl val="0"/>
      </c:catAx>
      <c:valAx>
        <c:axId val="879238527"/>
        <c:scaling>
          <c:orientation val="minMax"/>
        </c:scaling>
        <c:delete val="1"/>
        <c:axPos val="b"/>
        <c:numFmt formatCode="General" sourceLinked="1"/>
        <c:majorTickMark val="none"/>
        <c:minorTickMark val="none"/>
        <c:tickLblPos val="nextTo"/>
        <c:crossAx val="87924428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Dashboard.xlsm]Dashboard 2.0!PivotTable3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dLbl>
          <c:idx val="0"/>
          <c:layout>
            <c:manualLayout>
              <c:x val="0.17176398843950835"/>
              <c:y val="0.2446119975134687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 2.0'!$H$3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1C0-45D3-8A2B-79897E1740F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1C0-45D3-8A2B-79897E1740F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1C0-45D3-8A2B-79897E1740F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1C0-45D3-8A2B-79897E1740F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B9E9-4103-BDC4-11AFACEA479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 2.0'!$G$4:$G$8</c:f>
              <c:strCache>
                <c:ptCount val="5"/>
                <c:pt idx="0">
                  <c:v>Anoop Narayan</c:v>
                </c:pt>
                <c:pt idx="1">
                  <c:v>Arvind Sharma</c:v>
                </c:pt>
                <c:pt idx="2">
                  <c:v>Julie S</c:v>
                </c:pt>
                <c:pt idx="3">
                  <c:v>Prasannakumari S</c:v>
                </c:pt>
                <c:pt idx="4">
                  <c:v>Shankar Attendant</c:v>
                </c:pt>
              </c:strCache>
            </c:strRef>
          </c:cat>
          <c:val>
            <c:numRef>
              <c:f>'Dashboard 2.0'!$H$4:$H$8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B9E9-4103-BDC4-11AFACEA479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Dashboard.xlsm]Dashboard 2.0!PivotTable4</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 2.0'!$K$3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2.0'!$J$4:$J$8</c:f>
              <c:strCache>
                <c:ptCount val="5"/>
                <c:pt idx="0">
                  <c:v>Dinesh Kumar</c:v>
                </c:pt>
                <c:pt idx="1">
                  <c:v>Omprakash O</c:v>
                </c:pt>
                <c:pt idx="2">
                  <c:v>Pankaj Shelkey</c:v>
                </c:pt>
                <c:pt idx="3">
                  <c:v>Prabha Desikan</c:v>
                </c:pt>
                <c:pt idx="4">
                  <c:v>Praveen Kumar</c:v>
                </c:pt>
              </c:strCache>
            </c:strRef>
          </c:cat>
          <c:val>
            <c:numRef>
              <c:f>'Dashboard 2.0'!$K$4:$K$8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C157-45DC-B8D5-AB71F0EEAD86}"/>
            </c:ext>
          </c:extLst>
        </c:ser>
        <c:dLbls>
          <c:showLegendKey val="0"/>
          <c:showVal val="0"/>
          <c:showCatName val="0"/>
          <c:showSerName val="0"/>
          <c:showPercent val="0"/>
          <c:showBubbleSize val="0"/>
        </c:dLbls>
        <c:smooth val="0"/>
        <c:axId val="879270687"/>
        <c:axId val="879271167"/>
      </c:lineChart>
      <c:catAx>
        <c:axId val="879270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9271167"/>
        <c:crosses val="autoZero"/>
        <c:auto val="1"/>
        <c:lblAlgn val="ctr"/>
        <c:lblOffset val="100"/>
        <c:noMultiLvlLbl val="0"/>
      </c:catAx>
      <c:valAx>
        <c:axId val="879271167"/>
        <c:scaling>
          <c:orientation val="minMax"/>
        </c:scaling>
        <c:delete val="1"/>
        <c:axPos val="l"/>
        <c:numFmt formatCode="0.00%" sourceLinked="1"/>
        <c:majorTickMark val="none"/>
        <c:minorTickMark val="none"/>
        <c:tickLblPos val="nextTo"/>
        <c:crossAx val="8792706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101600</xdr:rowOff>
    </xdr:from>
    <xdr:to>
      <xdr:col>5</xdr:col>
      <xdr:colOff>12701</xdr:colOff>
      <xdr:row>18</xdr:row>
      <xdr:rowOff>158750</xdr:rowOff>
    </xdr:to>
    <xdr:graphicFrame macro="">
      <xdr:nvGraphicFramePr>
        <xdr:cNvPr id="2" name="Chart 1">
          <a:extLst>
            <a:ext uri="{FF2B5EF4-FFF2-40B4-BE49-F238E27FC236}">
              <a16:creationId xmlns:a16="http://schemas.microsoft.com/office/drawing/2014/main" id="{BBAEC1D6-2328-E657-ADD3-1E448F6BE9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9524</xdr:colOff>
      <xdr:row>8</xdr:row>
      <xdr:rowOff>82550</xdr:rowOff>
    </xdr:from>
    <xdr:to>
      <xdr:col>8</xdr:col>
      <xdr:colOff>25400</xdr:colOff>
      <xdr:row>18</xdr:row>
      <xdr:rowOff>171450</xdr:rowOff>
    </xdr:to>
    <xdr:graphicFrame macro="">
      <xdr:nvGraphicFramePr>
        <xdr:cNvPr id="3" name="Chart 2">
          <a:extLst>
            <a:ext uri="{FF2B5EF4-FFF2-40B4-BE49-F238E27FC236}">
              <a16:creationId xmlns:a16="http://schemas.microsoft.com/office/drawing/2014/main" id="{1A69A7B7-6EEF-94DE-12A4-2FFA1FEC40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168276</xdr:colOff>
      <xdr:row>8</xdr:row>
      <xdr:rowOff>66675</xdr:rowOff>
    </xdr:from>
    <xdr:to>
      <xdr:col>11</xdr:col>
      <xdr:colOff>12700</xdr:colOff>
      <xdr:row>18</xdr:row>
      <xdr:rowOff>172357</xdr:rowOff>
    </xdr:to>
    <xdr:graphicFrame macro="">
      <xdr:nvGraphicFramePr>
        <xdr:cNvPr id="5" name="Chart 4">
          <a:extLst>
            <a:ext uri="{FF2B5EF4-FFF2-40B4-BE49-F238E27FC236}">
              <a16:creationId xmlns:a16="http://schemas.microsoft.com/office/drawing/2014/main" id="{A247FA5D-9A7C-39D0-5D80-5867C90C78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247650</xdr:colOff>
      <xdr:row>1</xdr:row>
      <xdr:rowOff>260350</xdr:rowOff>
    </xdr:from>
    <xdr:to>
      <xdr:col>1</xdr:col>
      <xdr:colOff>400050</xdr:colOff>
      <xdr:row>1</xdr:row>
      <xdr:rowOff>584200</xdr:rowOff>
    </xdr:to>
    <xdr:sp macro="" textlink="">
      <xdr:nvSpPr>
        <xdr:cNvPr id="7" name="Speech Bubble: Rectangle with Corners Rounded 6">
          <a:extLst>
            <a:ext uri="{FF2B5EF4-FFF2-40B4-BE49-F238E27FC236}">
              <a16:creationId xmlns:a16="http://schemas.microsoft.com/office/drawing/2014/main" id="{67144673-9EE8-C659-853A-0A179CA7FEDF}"/>
            </a:ext>
          </a:extLst>
        </xdr:cNvPr>
        <xdr:cNvSpPr/>
      </xdr:nvSpPr>
      <xdr:spPr>
        <a:xfrm>
          <a:off x="247650" y="444500"/>
          <a:ext cx="1536700" cy="323850"/>
        </a:xfrm>
        <a:prstGeom prst="wedgeRoundRectCallou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317500</xdr:colOff>
          <xdr:row>1</xdr:row>
          <xdr:rowOff>285750</xdr:rowOff>
        </xdr:from>
        <xdr:to>
          <xdr:col>1</xdr:col>
          <xdr:colOff>304800</xdr:colOff>
          <xdr:row>1</xdr:row>
          <xdr:rowOff>552450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260350</xdr:colOff>
      <xdr:row>1</xdr:row>
      <xdr:rowOff>279400</xdr:rowOff>
    </xdr:from>
    <xdr:to>
      <xdr:col>4</xdr:col>
      <xdr:colOff>412750</xdr:colOff>
      <xdr:row>1</xdr:row>
      <xdr:rowOff>584200</xdr:rowOff>
    </xdr:to>
    <xdr:sp macro="" textlink="">
      <xdr:nvSpPr>
        <xdr:cNvPr id="8" name="Speech Bubble: Rectangle with Corners Rounded 7">
          <a:extLst>
            <a:ext uri="{FF2B5EF4-FFF2-40B4-BE49-F238E27FC236}">
              <a16:creationId xmlns:a16="http://schemas.microsoft.com/office/drawing/2014/main" id="{18BFD851-7073-BF54-ED23-5CF764A0C0BA}"/>
            </a:ext>
          </a:extLst>
        </xdr:cNvPr>
        <xdr:cNvSpPr/>
      </xdr:nvSpPr>
      <xdr:spPr>
        <a:xfrm>
          <a:off x="2978150" y="463550"/>
          <a:ext cx="1536700" cy="304800"/>
        </a:xfrm>
        <a:prstGeom prst="wedgeRoundRectCallou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260350</xdr:colOff>
      <xdr:row>1</xdr:row>
      <xdr:rowOff>254000</xdr:rowOff>
    </xdr:from>
    <xdr:to>
      <xdr:col>7</xdr:col>
      <xdr:colOff>781050</xdr:colOff>
      <xdr:row>1</xdr:row>
      <xdr:rowOff>590550</xdr:rowOff>
    </xdr:to>
    <xdr:sp macro="" textlink="">
      <xdr:nvSpPr>
        <xdr:cNvPr id="9" name="Speech Bubble: Rectangle with Corners Rounded 8">
          <a:extLst>
            <a:ext uri="{FF2B5EF4-FFF2-40B4-BE49-F238E27FC236}">
              <a16:creationId xmlns:a16="http://schemas.microsoft.com/office/drawing/2014/main" id="{0EF6E4B9-C192-E662-652A-4E6F0CEA0FC5}"/>
            </a:ext>
          </a:extLst>
        </xdr:cNvPr>
        <xdr:cNvSpPr/>
      </xdr:nvSpPr>
      <xdr:spPr>
        <a:xfrm>
          <a:off x="5257800" y="438150"/>
          <a:ext cx="1536700" cy="336550"/>
        </a:xfrm>
        <a:prstGeom prst="wedgeRoundRectCallou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260350</xdr:colOff>
      <xdr:row>1</xdr:row>
      <xdr:rowOff>241300</xdr:rowOff>
    </xdr:from>
    <xdr:to>
      <xdr:col>10</xdr:col>
      <xdr:colOff>603250</xdr:colOff>
      <xdr:row>1</xdr:row>
      <xdr:rowOff>571500</xdr:rowOff>
    </xdr:to>
    <xdr:sp macro="" textlink="">
      <xdr:nvSpPr>
        <xdr:cNvPr id="10" name="Speech Bubble: Rectangle with Corners Rounded 9">
          <a:extLst>
            <a:ext uri="{FF2B5EF4-FFF2-40B4-BE49-F238E27FC236}">
              <a16:creationId xmlns:a16="http://schemas.microsoft.com/office/drawing/2014/main" id="{0E067867-4A8E-D3CA-D319-58C801FAFB9C}"/>
            </a:ext>
          </a:extLst>
        </xdr:cNvPr>
        <xdr:cNvSpPr/>
      </xdr:nvSpPr>
      <xdr:spPr>
        <a:xfrm>
          <a:off x="7734300" y="425450"/>
          <a:ext cx="1536700" cy="330200"/>
        </a:xfrm>
        <a:prstGeom prst="wedgeRoundRectCallou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400050</xdr:colOff>
          <xdr:row>1</xdr:row>
          <xdr:rowOff>298450</xdr:rowOff>
        </xdr:from>
        <xdr:to>
          <xdr:col>4</xdr:col>
          <xdr:colOff>387350</xdr:colOff>
          <xdr:row>1</xdr:row>
          <xdr:rowOff>565150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381000</xdr:colOff>
          <xdr:row>1</xdr:row>
          <xdr:rowOff>279400</xdr:rowOff>
        </xdr:from>
        <xdr:to>
          <xdr:col>7</xdr:col>
          <xdr:colOff>736600</xdr:colOff>
          <xdr:row>1</xdr:row>
          <xdr:rowOff>546100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381000</xdr:colOff>
          <xdr:row>1</xdr:row>
          <xdr:rowOff>279400</xdr:rowOff>
        </xdr:from>
        <xdr:to>
          <xdr:col>10</xdr:col>
          <xdr:colOff>558800</xdr:colOff>
          <xdr:row>1</xdr:row>
          <xdr:rowOff>546100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editAs="oneCell">
    <xdr:from>
      <xdr:col>0</xdr:col>
      <xdr:colOff>38100</xdr:colOff>
      <xdr:row>0</xdr:row>
      <xdr:rowOff>19050</xdr:rowOff>
    </xdr:from>
    <xdr:to>
      <xdr:col>11</xdr:col>
      <xdr:colOff>12700</xdr:colOff>
      <xdr:row>1</xdr:row>
      <xdr:rowOff>209550</xdr:rowOff>
    </xdr:to>
    <mc:AlternateContent xmlns:mc="http://schemas.openxmlformats.org/markup-compatibility/2006" xmlns:a14="http://schemas.microsoft.com/office/drawing/2010/main">
      <mc:Choice Requires="a14">
        <xdr:graphicFrame macro="">
          <xdr:nvGraphicFramePr>
            <xdr:cNvPr id="11" name="Region 2">
              <a:extLst>
                <a:ext uri="{FF2B5EF4-FFF2-40B4-BE49-F238E27FC236}">
                  <a16:creationId xmlns:a16="http://schemas.microsoft.com/office/drawing/2014/main" id="{9D8F1713-BBD3-6FFB-7078-D62DA2B27B96}"/>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38100" y="19050"/>
              <a:ext cx="10534650" cy="3746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6C13BD-95E5-4260-95DA-CBA253D6FCA0}" name="PivotTable2" cacheId="9"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0" baseItem="0"/>
  </dataFields>
  <pivotTableStyleInfo name="PivotStyleMedium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00BEA37-01DF-4608-9751-CDE5537D9AFF}" name="PivotTable1" cacheId="9"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86E212A-FE11-467F-AB11-7B5C8AF6C49B}" name="PivotTable4" cacheId="9"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wise" fld="11" baseField="0" baseItem="0" numFmtId="10"/>
  </dataFields>
  <chartFormats count="1">
    <chartFormat chart="2"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0EDC7C8-7485-4280-9C68-27969F39CB88}" name="PivotTable3" cacheId="9"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wise" fld="10"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59"/>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76FB165E-F0C2-4D73-9FA4-C6A46D5C1EDA}" sourceName="Region">
  <pivotTables>
    <pivotTable tabId="3" name="PivotTable3"/>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578A62FF-C278-4ACC-8746-C1E94F9632DE}" cache="Slicer_Region1" caption="Region" columnCount="8" showCaption="0" style="Slicer Style 2"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F2A3-4EDE-4FE3-9BAB-7A9BA6FC41DB}">
  <sheetPr codeName="Sheet1"/>
  <dimension ref="A1:K19"/>
  <sheetViews>
    <sheetView showGridLines="0" showRowColHeaders="0" tabSelected="1" zoomScaleNormal="100" workbookViewId="0">
      <selection activeCell="M14" sqref="M14"/>
    </sheetView>
  </sheetViews>
  <sheetFormatPr defaultRowHeight="14.5" x14ac:dyDescent="0.35"/>
  <cols>
    <col min="1" max="1" width="19.81640625" style="14" bestFit="1" customWidth="1"/>
    <col min="2" max="2" width="16.08984375" style="14" bestFit="1" customWidth="1"/>
    <col min="3" max="3" width="3" style="14" customWidth="1"/>
    <col min="4" max="4" width="19.81640625" style="14" bestFit="1" customWidth="1"/>
    <col min="5" max="5" width="10.1796875" style="14" bestFit="1" customWidth="1"/>
    <col min="6" max="6" width="2.6328125" style="14" customWidth="1"/>
    <col min="7" max="7" width="14.54296875" style="14" bestFit="1" customWidth="1"/>
    <col min="8" max="8" width="18" style="14" customWidth="1"/>
    <col min="9" max="9" width="2.90625" style="14" customWidth="1"/>
    <col min="10" max="10" width="17.08984375" style="14" customWidth="1"/>
    <col min="11" max="11" width="27.08984375" style="14" customWidth="1"/>
    <col min="12" max="16384" width="8.7265625" style="14"/>
  </cols>
  <sheetData>
    <row r="1" spans="1:11" x14ac:dyDescent="0.35">
      <c r="A1" s="13" t="b">
        <v>0</v>
      </c>
      <c r="B1" s="13"/>
      <c r="C1" s="13"/>
      <c r="D1" s="13" t="b">
        <v>0</v>
      </c>
      <c r="E1" s="13"/>
      <c r="F1" s="13"/>
      <c r="G1" s="13" t="b">
        <v>1</v>
      </c>
      <c r="H1" s="13"/>
      <c r="I1" s="13"/>
      <c r="J1" s="13" t="b">
        <v>0</v>
      </c>
      <c r="K1" s="13"/>
    </row>
    <row r="2" spans="1:11" ht="51.5" customHeight="1" x14ac:dyDescent="0.35"/>
    <row r="3" spans="1:11" x14ac:dyDescent="0.35">
      <c r="A3" s="9" t="s">
        <v>1</v>
      </c>
      <c r="B3" t="s">
        <v>302</v>
      </c>
      <c r="D3" s="9" t="s">
        <v>1</v>
      </c>
      <c r="E3" t="s">
        <v>302</v>
      </c>
      <c r="G3" s="9" t="s">
        <v>1</v>
      </c>
      <c r="H3" t="s">
        <v>303</v>
      </c>
      <c r="J3" s="9" t="s">
        <v>1</v>
      </c>
      <c r="K3" t="s">
        <v>304</v>
      </c>
    </row>
    <row r="4" spans="1:11" x14ac:dyDescent="0.35">
      <c r="A4" s="10" t="s">
        <v>295</v>
      </c>
      <c r="B4" s="15">
        <v>382</v>
      </c>
      <c r="D4" s="10" t="s">
        <v>253</v>
      </c>
      <c r="E4">
        <v>166</v>
      </c>
      <c r="G4" s="10" t="s">
        <v>281</v>
      </c>
      <c r="H4" s="11">
        <v>0.71</v>
      </c>
      <c r="J4" s="10" t="s">
        <v>253</v>
      </c>
      <c r="K4" s="11">
        <v>0.66799999999999993</v>
      </c>
    </row>
    <row r="5" spans="1:11" x14ac:dyDescent="0.35">
      <c r="A5" s="10" t="s">
        <v>19</v>
      </c>
      <c r="B5" s="15">
        <v>379</v>
      </c>
      <c r="D5" s="10" t="s">
        <v>165</v>
      </c>
      <c r="E5">
        <v>143</v>
      </c>
      <c r="G5" s="10" t="s">
        <v>19</v>
      </c>
      <c r="H5" s="11">
        <v>0.75800000000000001</v>
      </c>
      <c r="J5" s="10" t="s">
        <v>165</v>
      </c>
      <c r="K5" s="11">
        <v>0.71399999999999997</v>
      </c>
    </row>
    <row r="6" spans="1:11" x14ac:dyDescent="0.35">
      <c r="A6" s="10" t="s">
        <v>243</v>
      </c>
      <c r="B6" s="15">
        <v>389</v>
      </c>
      <c r="D6" s="10" t="s">
        <v>161</v>
      </c>
      <c r="E6">
        <v>156</v>
      </c>
      <c r="G6" s="10" t="s">
        <v>233</v>
      </c>
      <c r="H6" s="11">
        <v>0.748</v>
      </c>
      <c r="J6" s="10" t="s">
        <v>161</v>
      </c>
      <c r="K6" s="11">
        <v>0.68799999999999994</v>
      </c>
    </row>
    <row r="7" spans="1:11" x14ac:dyDescent="0.35">
      <c r="A7" s="10" t="s">
        <v>187</v>
      </c>
      <c r="B7" s="15">
        <v>384</v>
      </c>
      <c r="D7" s="10" t="s">
        <v>157</v>
      </c>
      <c r="E7">
        <v>171</v>
      </c>
      <c r="G7" s="10" t="s">
        <v>153</v>
      </c>
      <c r="H7" s="11">
        <v>0.68400000000000005</v>
      </c>
      <c r="J7" s="10" t="s">
        <v>157</v>
      </c>
      <c r="K7" s="11">
        <v>0.65799999999999992</v>
      </c>
    </row>
    <row r="8" spans="1:11" x14ac:dyDescent="0.35">
      <c r="A8" s="10" t="s">
        <v>147</v>
      </c>
      <c r="B8" s="15">
        <v>385</v>
      </c>
      <c r="D8" s="10" t="s">
        <v>151</v>
      </c>
      <c r="E8">
        <v>166</v>
      </c>
      <c r="G8" s="10" t="s">
        <v>73</v>
      </c>
      <c r="H8" s="11">
        <v>0.71399999999999997</v>
      </c>
      <c r="J8" s="10" t="s">
        <v>151</v>
      </c>
      <c r="K8" s="11">
        <v>0.66799999999999993</v>
      </c>
    </row>
    <row r="9" spans="1:11" x14ac:dyDescent="0.35">
      <c r="A9" s="12"/>
      <c r="B9" s="12"/>
      <c r="C9" s="12"/>
      <c r="D9" s="12"/>
      <c r="E9" s="12"/>
      <c r="G9" s="12"/>
      <c r="H9" s="12"/>
      <c r="J9" s="12"/>
      <c r="K9" s="12"/>
    </row>
    <row r="10" spans="1:11" x14ac:dyDescent="0.35">
      <c r="A10" s="12"/>
      <c r="B10" s="12"/>
      <c r="C10" s="12"/>
      <c r="D10" s="12"/>
      <c r="E10" s="12"/>
      <c r="G10" s="12"/>
      <c r="H10" s="12"/>
      <c r="J10" s="12"/>
      <c r="K10" s="12"/>
    </row>
    <row r="11" spans="1:11" x14ac:dyDescent="0.35">
      <c r="A11" s="12"/>
      <c r="B11" s="12"/>
      <c r="C11" s="12"/>
      <c r="D11" s="12"/>
      <c r="E11" s="12"/>
      <c r="G11" s="12"/>
      <c r="H11" s="12"/>
      <c r="J11" s="12"/>
      <c r="K11" s="12"/>
    </row>
    <row r="12" spans="1:11" x14ac:dyDescent="0.35">
      <c r="A12" s="12"/>
      <c r="B12" s="12"/>
      <c r="C12" s="12"/>
      <c r="D12" s="12"/>
      <c r="E12" s="12"/>
      <c r="G12" s="12"/>
      <c r="H12" s="12"/>
      <c r="J12" s="12"/>
      <c r="K12" s="12"/>
    </row>
    <row r="13" spans="1:11" x14ac:dyDescent="0.35">
      <c r="A13" s="12"/>
      <c r="B13" s="12"/>
      <c r="C13" s="12"/>
      <c r="D13" s="12"/>
      <c r="E13" s="12"/>
      <c r="G13" s="12"/>
      <c r="H13" s="12"/>
      <c r="J13" s="12"/>
      <c r="K13" s="12"/>
    </row>
    <row r="14" spans="1:11" x14ac:dyDescent="0.35">
      <c r="A14" s="12"/>
      <c r="B14" s="12"/>
      <c r="C14" s="12"/>
      <c r="D14" s="12"/>
      <c r="E14" s="12"/>
      <c r="G14" s="12"/>
      <c r="H14" s="12"/>
      <c r="J14" s="12"/>
      <c r="K14" s="12"/>
    </row>
    <row r="15" spans="1:11" x14ac:dyDescent="0.35">
      <c r="A15" s="12"/>
      <c r="B15" s="12"/>
      <c r="C15" s="12"/>
      <c r="D15" s="12"/>
      <c r="E15" s="12"/>
      <c r="G15" s="12"/>
      <c r="H15" s="12"/>
      <c r="J15" s="12"/>
      <c r="K15" s="12"/>
    </row>
    <row r="16" spans="1:11" x14ac:dyDescent="0.35">
      <c r="A16" s="12"/>
      <c r="B16" s="12"/>
      <c r="C16" s="12"/>
      <c r="D16" s="12"/>
      <c r="E16" s="12"/>
      <c r="G16" s="12"/>
      <c r="H16" s="12"/>
      <c r="J16" s="12"/>
      <c r="K16" s="12"/>
    </row>
    <row r="17" spans="1:11" x14ac:dyDescent="0.35">
      <c r="A17" s="12"/>
      <c r="B17" s="12"/>
      <c r="C17" s="12"/>
      <c r="D17" s="12"/>
      <c r="E17" s="12"/>
      <c r="G17" s="12"/>
      <c r="H17" s="12"/>
      <c r="J17" s="12"/>
      <c r="K17" s="12"/>
    </row>
    <row r="18" spans="1:11" x14ac:dyDescent="0.35">
      <c r="A18" s="12"/>
      <c r="B18" s="12"/>
      <c r="C18" s="12"/>
      <c r="D18" s="12"/>
      <c r="E18" s="12"/>
      <c r="G18" s="12"/>
      <c r="H18" s="12"/>
      <c r="J18" s="12"/>
      <c r="K18" s="12"/>
    </row>
    <row r="19" spans="1:11" x14ac:dyDescent="0.35">
      <c r="A19" s="12"/>
      <c r="B19" s="12"/>
      <c r="C19" s="12"/>
      <c r="D19" s="12"/>
      <c r="E19" s="12"/>
      <c r="G19" s="12"/>
      <c r="H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macro="[0]!SlicerConnection">
                <anchor moveWithCells="1">
                  <from>
                    <xdr:col>0</xdr:col>
                    <xdr:colOff>317500</xdr:colOff>
                    <xdr:row>1</xdr:row>
                    <xdr:rowOff>285750</xdr:rowOff>
                  </from>
                  <to>
                    <xdr:col>1</xdr:col>
                    <xdr:colOff>304800</xdr:colOff>
                    <xdr:row>1</xdr:row>
                    <xdr:rowOff>552450</xdr:rowOff>
                  </to>
                </anchor>
              </controlPr>
            </control>
          </mc:Choice>
        </mc:AlternateContent>
        <mc:AlternateContent xmlns:mc="http://schemas.openxmlformats.org/markup-compatibility/2006">
          <mc:Choice Requires="x14">
            <control shapeId="4102" r:id="rId8" name="Check Box 6">
              <controlPr defaultSize="0" autoFill="0" autoLine="0" autoPict="0" macro="[0]!SlicerConnection">
                <anchor moveWithCells="1">
                  <from>
                    <xdr:col>3</xdr:col>
                    <xdr:colOff>400050</xdr:colOff>
                    <xdr:row>1</xdr:row>
                    <xdr:rowOff>298450</xdr:rowOff>
                  </from>
                  <to>
                    <xdr:col>4</xdr:col>
                    <xdr:colOff>387350</xdr:colOff>
                    <xdr:row>1</xdr:row>
                    <xdr:rowOff>565150</xdr:rowOff>
                  </to>
                </anchor>
              </controlPr>
            </control>
          </mc:Choice>
        </mc:AlternateContent>
        <mc:AlternateContent xmlns:mc="http://schemas.openxmlformats.org/markup-compatibility/2006">
          <mc:Choice Requires="x14">
            <control shapeId="4103" r:id="rId9" name="Check Box 7">
              <controlPr defaultSize="0" autoFill="0" autoLine="0" autoPict="0" macro="[0]!SlicerConnection">
                <anchor moveWithCells="1">
                  <from>
                    <xdr:col>6</xdr:col>
                    <xdr:colOff>381000</xdr:colOff>
                    <xdr:row>1</xdr:row>
                    <xdr:rowOff>279400</xdr:rowOff>
                  </from>
                  <to>
                    <xdr:col>7</xdr:col>
                    <xdr:colOff>736600</xdr:colOff>
                    <xdr:row>1</xdr:row>
                    <xdr:rowOff>546100</xdr:rowOff>
                  </to>
                </anchor>
              </controlPr>
            </control>
          </mc:Choice>
        </mc:AlternateContent>
        <mc:AlternateContent xmlns:mc="http://schemas.openxmlformats.org/markup-compatibility/2006">
          <mc:Choice Requires="x14">
            <control shapeId="4104" r:id="rId10" name="Check Box 8">
              <controlPr defaultSize="0" autoFill="0" autoLine="0" autoPict="0" macro="[0]!SlicerConnection">
                <anchor moveWithCells="1">
                  <from>
                    <xdr:col>9</xdr:col>
                    <xdr:colOff>381000</xdr:colOff>
                    <xdr:row>1</xdr:row>
                    <xdr:rowOff>279400</xdr:rowOff>
                  </from>
                  <to>
                    <xdr:col>10</xdr:col>
                    <xdr:colOff>558800</xdr:colOff>
                    <xdr:row>1</xdr:row>
                    <xdr:rowOff>546100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N142"/>
  <sheetViews>
    <sheetView zoomScale="130" zoomScaleNormal="130" workbookViewId="0">
      <selection activeCell="A142" sqref="A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 min="14" max="14" width="9" bestFit="1" customWidth="1"/>
  </cols>
  <sheetData>
    <row r="1" spans="1:14" x14ac:dyDescent="0.35">
      <c r="A1" s="1" t="s">
        <v>0</v>
      </c>
      <c r="B1" s="1" t="s">
        <v>1</v>
      </c>
      <c r="C1" s="1" t="s">
        <v>2</v>
      </c>
      <c r="D1" s="1" t="s">
        <v>3</v>
      </c>
      <c r="E1" s="1" t="s">
        <v>4</v>
      </c>
      <c r="F1" s="1" t="s">
        <v>5</v>
      </c>
      <c r="G1" s="1" t="s">
        <v>6</v>
      </c>
      <c r="H1" s="1" t="s">
        <v>7</v>
      </c>
      <c r="I1" s="1" t="s">
        <v>8</v>
      </c>
      <c r="J1" s="1" t="s">
        <v>9</v>
      </c>
      <c r="K1" s="1" t="s">
        <v>10</v>
      </c>
      <c r="L1" s="1" t="s">
        <v>11</v>
      </c>
    </row>
    <row r="2" spans="1:14" x14ac:dyDescent="0.35">
      <c r="A2" s="2" t="s">
        <v>12</v>
      </c>
      <c r="B2" s="3" t="s">
        <v>13</v>
      </c>
      <c r="C2" s="3" t="s">
        <v>14</v>
      </c>
      <c r="D2" s="4">
        <v>49</v>
      </c>
      <c r="E2" s="4">
        <v>84</v>
      </c>
      <c r="F2" s="4">
        <v>98</v>
      </c>
      <c r="G2" s="4">
        <v>67</v>
      </c>
      <c r="H2" s="4">
        <v>41</v>
      </c>
      <c r="I2" s="5">
        <f>SUM(D2:H2)</f>
        <v>339</v>
      </c>
      <c r="J2" s="5">
        <v>500</v>
      </c>
      <c r="K2" s="6">
        <f>I2/J2</f>
        <v>0.67800000000000005</v>
      </c>
      <c r="L2" s="7">
        <f>100%-K2</f>
        <v>0.32199999999999995</v>
      </c>
      <c r="N2" s="11"/>
    </row>
    <row r="3" spans="1:14"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c r="N3" s="11"/>
    </row>
    <row r="4" spans="1:14"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c r="N4" s="11"/>
    </row>
    <row r="5" spans="1:14"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c r="N5" s="11"/>
    </row>
    <row r="6" spans="1:14"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c r="N6" s="11"/>
    </row>
    <row r="7" spans="1:14" x14ac:dyDescent="0.35">
      <c r="A7" s="2" t="s">
        <v>27</v>
      </c>
      <c r="B7" s="3" t="s">
        <v>28</v>
      </c>
      <c r="C7" s="3" t="s">
        <v>29</v>
      </c>
      <c r="D7" s="4">
        <v>86</v>
      </c>
      <c r="E7" s="4">
        <v>31</v>
      </c>
      <c r="F7" s="4">
        <v>23</v>
      </c>
      <c r="G7" s="4">
        <v>48</v>
      </c>
      <c r="H7" s="4">
        <v>77</v>
      </c>
      <c r="I7" s="5">
        <f t="shared" si="0"/>
        <v>265</v>
      </c>
      <c r="J7" s="5">
        <v>500</v>
      </c>
      <c r="K7" s="6">
        <f t="shared" si="1"/>
        <v>0.53</v>
      </c>
      <c r="L7" s="7">
        <f t="shared" si="2"/>
        <v>0.47</v>
      </c>
      <c r="N7" s="11"/>
    </row>
    <row r="8" spans="1:14"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c r="N8" s="11"/>
    </row>
    <row r="9" spans="1:14"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c r="N9" s="11"/>
    </row>
    <row r="10" spans="1:14"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c r="N10" s="11"/>
    </row>
    <row r="11" spans="1:14"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c r="N11" s="11"/>
    </row>
    <row r="12" spans="1:14"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c r="N12" s="11"/>
    </row>
    <row r="13" spans="1:14"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c r="N13" s="11"/>
    </row>
    <row r="14" spans="1:14"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c r="N14" s="11"/>
    </row>
    <row r="15" spans="1:14"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c r="N15" s="11"/>
    </row>
    <row r="16" spans="1:14"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c r="N16" s="11"/>
    </row>
    <row r="17" spans="1:14"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c r="N17" s="11"/>
    </row>
    <row r="18" spans="1:14"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c r="N18" s="11"/>
    </row>
    <row r="19" spans="1:14"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c r="N19" s="11"/>
    </row>
    <row r="20" spans="1:14"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c r="N20" s="11"/>
    </row>
    <row r="21" spans="1:14"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c r="N21" s="11"/>
    </row>
    <row r="22" spans="1:14"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c r="N22" s="11"/>
    </row>
    <row r="23" spans="1:14"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c r="N23" s="11"/>
    </row>
    <row r="24" spans="1:14"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c r="N24" s="11"/>
    </row>
    <row r="25" spans="1:14"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c r="N25" s="11"/>
    </row>
    <row r="26" spans="1:14"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c r="N26" s="11"/>
    </row>
    <row r="27" spans="1:14"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c r="N27" s="11"/>
    </row>
    <row r="28" spans="1:14"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c r="N28" s="11"/>
    </row>
    <row r="29" spans="1:14"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c r="N29" s="11"/>
    </row>
    <row r="30" spans="1:14"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c r="N30" s="11"/>
    </row>
    <row r="31" spans="1:14"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c r="N31" s="11"/>
    </row>
    <row r="32" spans="1:14"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c r="N32" s="11"/>
    </row>
    <row r="33" spans="1:14" x14ac:dyDescent="0.35">
      <c r="A33" s="2" t="s">
        <v>82</v>
      </c>
      <c r="B33" s="3" t="s">
        <v>83</v>
      </c>
      <c r="C33" s="3" t="s">
        <v>35</v>
      </c>
      <c r="D33" s="4">
        <v>37</v>
      </c>
      <c r="E33" s="4">
        <v>30</v>
      </c>
      <c r="F33" s="4">
        <v>19</v>
      </c>
      <c r="G33" s="4">
        <v>77</v>
      </c>
      <c r="H33" s="4">
        <v>67</v>
      </c>
      <c r="I33" s="5">
        <f t="shared" si="0"/>
        <v>230</v>
      </c>
      <c r="J33" s="5">
        <v>500</v>
      </c>
      <c r="K33" s="6">
        <f t="shared" si="1"/>
        <v>0.46</v>
      </c>
      <c r="L33" s="7">
        <f t="shared" si="2"/>
        <v>0.54</v>
      </c>
      <c r="N33" s="11"/>
    </row>
    <row r="34" spans="1:14"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c r="N34" s="11"/>
    </row>
    <row r="35" spans="1:14"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c r="N35" s="11"/>
    </row>
    <row r="36" spans="1:14"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c r="N36" s="11"/>
    </row>
    <row r="37" spans="1:14"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c r="N37" s="11"/>
    </row>
    <row r="38" spans="1:14"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c r="N38" s="11"/>
    </row>
    <row r="39" spans="1:14"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c r="N39" s="11"/>
    </row>
    <row r="40" spans="1:14"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c r="N40" s="11"/>
    </row>
    <row r="41" spans="1:14"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c r="N41" s="11"/>
    </row>
    <row r="42" spans="1:14"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c r="N42" s="11"/>
    </row>
    <row r="43" spans="1:14"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c r="N43" s="11"/>
    </row>
    <row r="44" spans="1:14"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c r="N44" s="11"/>
    </row>
    <row r="45" spans="1:14"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c r="N45" s="11"/>
    </row>
    <row r="46" spans="1:14"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c r="N46" s="11"/>
    </row>
    <row r="47" spans="1:14"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c r="N47" s="11"/>
    </row>
    <row r="48" spans="1:14"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c r="N48" s="11"/>
    </row>
    <row r="49" spans="1:14"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c r="N49" s="11"/>
    </row>
    <row r="50" spans="1:14"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c r="N50" s="11"/>
    </row>
    <row r="51" spans="1:14"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c r="N51" s="11"/>
    </row>
    <row r="52" spans="1:14"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c r="N52" s="11"/>
    </row>
    <row r="53" spans="1:14"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c r="N53" s="11"/>
    </row>
    <row r="54" spans="1:14"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c r="N54" s="11"/>
    </row>
    <row r="55" spans="1:14"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c r="N55" s="11"/>
    </row>
    <row r="56" spans="1:14"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c r="N56" s="11"/>
    </row>
    <row r="57" spans="1:14"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c r="N57" s="11"/>
    </row>
    <row r="58" spans="1:14"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c r="N58" s="11"/>
    </row>
    <row r="59" spans="1:14"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c r="N59" s="11"/>
    </row>
    <row r="60" spans="1:14" x14ac:dyDescent="0.35">
      <c r="A60" s="2" t="s">
        <v>136</v>
      </c>
      <c r="B60" s="3" t="s">
        <v>137</v>
      </c>
      <c r="C60" s="3" t="s">
        <v>20</v>
      </c>
      <c r="D60" s="4">
        <v>83</v>
      </c>
      <c r="E60" s="4">
        <v>12</v>
      </c>
      <c r="F60" s="4">
        <v>70</v>
      </c>
      <c r="G60" s="4">
        <v>83</v>
      </c>
      <c r="H60" s="4">
        <v>52</v>
      </c>
      <c r="I60" s="5">
        <f t="shared" si="0"/>
        <v>300</v>
      </c>
      <c r="J60" s="5">
        <v>500</v>
      </c>
      <c r="K60" s="6">
        <f t="shared" si="1"/>
        <v>0.6</v>
      </c>
      <c r="L60" s="7">
        <f t="shared" si="2"/>
        <v>0.4</v>
      </c>
      <c r="N60" s="11"/>
    </row>
    <row r="61" spans="1:14"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c r="N61" s="11"/>
    </row>
    <row r="62" spans="1:14"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c r="N62" s="11"/>
    </row>
    <row r="63" spans="1:14"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c r="N63" s="11"/>
    </row>
    <row r="64" spans="1:14"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c r="N64" s="11"/>
    </row>
    <row r="65" spans="1:14"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c r="N65" s="11"/>
    </row>
    <row r="66" spans="1:14"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c r="N66" s="11"/>
    </row>
    <row r="67" spans="1:14"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c r="N67" s="11"/>
    </row>
    <row r="68" spans="1:14"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c r="N68" s="11"/>
    </row>
    <row r="69" spans="1:14"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c r="N69" s="11"/>
    </row>
    <row r="70" spans="1:14"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c r="N70" s="11"/>
    </row>
    <row r="71" spans="1:14"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c r="N71" s="11"/>
    </row>
    <row r="72" spans="1:14"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c r="N72" s="11"/>
    </row>
    <row r="73" spans="1:14"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c r="N73" s="11"/>
    </row>
    <row r="74" spans="1:14"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c r="N74" s="11"/>
    </row>
    <row r="75" spans="1:14"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c r="N75" s="11"/>
    </row>
    <row r="76" spans="1:14"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c r="N76" s="11"/>
    </row>
    <row r="77" spans="1:14"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c r="N77" s="11"/>
    </row>
    <row r="78" spans="1:14"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c r="N78" s="11"/>
    </row>
    <row r="79" spans="1:14"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c r="N79" s="11"/>
    </row>
    <row r="80" spans="1:14"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c r="N80" s="11"/>
    </row>
    <row r="81" spans="1:14"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c r="N81" s="11"/>
    </row>
    <row r="82" spans="1:14"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c r="N82" s="11"/>
    </row>
    <row r="83" spans="1:14"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c r="N83" s="11"/>
    </row>
    <row r="84" spans="1:14"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c r="N84" s="11"/>
    </row>
    <row r="85" spans="1:14"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c r="N85" s="11"/>
    </row>
    <row r="86" spans="1:14"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c r="N86" s="11"/>
    </row>
    <row r="87" spans="1:14"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c r="N87" s="11"/>
    </row>
    <row r="88" spans="1:14"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c r="N88" s="11"/>
    </row>
    <row r="89" spans="1:14"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c r="N89" s="11"/>
    </row>
    <row r="90" spans="1:14"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c r="N90" s="11"/>
    </row>
    <row r="91" spans="1:14"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c r="N91" s="11"/>
    </row>
    <row r="92" spans="1:14" x14ac:dyDescent="0.35">
      <c r="A92" s="2" t="s">
        <v>200</v>
      </c>
      <c r="B92" s="3" t="s">
        <v>201</v>
      </c>
      <c r="C92" s="3" t="s">
        <v>20</v>
      </c>
      <c r="D92" s="4">
        <v>80</v>
      </c>
      <c r="E92" s="4">
        <v>73</v>
      </c>
      <c r="F92" s="4">
        <v>21</v>
      </c>
      <c r="G92" s="4">
        <v>72</v>
      </c>
      <c r="H92" s="4">
        <v>54</v>
      </c>
      <c r="I92" s="5">
        <f t="shared" si="3"/>
        <v>300</v>
      </c>
      <c r="J92" s="5">
        <v>500</v>
      </c>
      <c r="K92" s="6">
        <f t="shared" si="4"/>
        <v>0.6</v>
      </c>
      <c r="L92" s="7">
        <f t="shared" si="5"/>
        <v>0.4</v>
      </c>
      <c r="N92" s="11"/>
    </row>
    <row r="93" spans="1:14"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c r="N93" s="11"/>
    </row>
    <row r="94" spans="1:14"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c r="N94" s="11"/>
    </row>
    <row r="95" spans="1:14"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c r="N95" s="11"/>
    </row>
    <row r="96" spans="1:14"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c r="N96" s="11"/>
    </row>
    <row r="97" spans="1:14"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c r="N97" s="11"/>
    </row>
    <row r="98" spans="1:14"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c r="N98" s="11"/>
    </row>
    <row r="99" spans="1:14"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c r="N99" s="11"/>
    </row>
    <row r="100" spans="1:14"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c r="N100" s="11"/>
    </row>
    <row r="101" spans="1:14"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c r="N101" s="11"/>
    </row>
    <row r="102" spans="1:14"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c r="N102" s="11"/>
    </row>
    <row r="103" spans="1:14"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c r="N103" s="11"/>
    </row>
    <row r="104" spans="1:14"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c r="N104" s="11"/>
    </row>
    <row r="105" spans="1:14"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c r="N105" s="11"/>
    </row>
    <row r="106" spans="1:14"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c r="N106" s="11"/>
    </row>
    <row r="107" spans="1:14"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c r="N107" s="11"/>
    </row>
    <row r="108" spans="1:14"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c r="N108" s="11"/>
    </row>
    <row r="109" spans="1:14"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c r="N109" s="11"/>
    </row>
    <row r="110" spans="1:14"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c r="N110" s="11"/>
    </row>
    <row r="111" spans="1:14"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c r="N111" s="11"/>
    </row>
    <row r="112" spans="1:14"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c r="N112" s="11"/>
    </row>
    <row r="113" spans="1:14"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c r="N113" s="11"/>
    </row>
    <row r="114" spans="1:14"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c r="N114" s="11"/>
    </row>
    <row r="115" spans="1:14"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c r="N115" s="11"/>
    </row>
    <row r="116" spans="1:14"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c r="N116" s="11"/>
    </row>
    <row r="117" spans="1:14"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c r="N117" s="11"/>
    </row>
    <row r="118" spans="1:14"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c r="N118" s="11"/>
    </row>
    <row r="119" spans="1:14"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c r="N119" s="11"/>
    </row>
    <row r="120" spans="1:14"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c r="N120" s="11"/>
    </row>
    <row r="121" spans="1:14"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c r="N121" s="11"/>
    </row>
    <row r="122" spans="1:14"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c r="N122" s="11"/>
    </row>
    <row r="123" spans="1:14"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c r="N123" s="11"/>
    </row>
    <row r="124" spans="1:14"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c r="N124" s="11"/>
    </row>
    <row r="125" spans="1:14"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c r="N125" s="11"/>
    </row>
    <row r="126" spans="1:14"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c r="N126" s="11"/>
    </row>
    <row r="127" spans="1:14"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c r="N127" s="11"/>
    </row>
    <row r="128" spans="1:14"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c r="N128" s="11"/>
    </row>
    <row r="129" spans="1:14"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c r="N129" s="11"/>
    </row>
    <row r="130" spans="1:14"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c r="N130" s="11"/>
    </row>
    <row r="131" spans="1:14"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c r="N131" s="11"/>
    </row>
    <row r="132" spans="1:14"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c r="N132" s="11"/>
    </row>
    <row r="133" spans="1:14"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c r="N133" s="11"/>
    </row>
    <row r="134" spans="1:14"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c r="N134" s="11"/>
    </row>
    <row r="135" spans="1:14"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c r="N135" s="11"/>
    </row>
    <row r="136" spans="1:14"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c r="N136" s="11"/>
    </row>
    <row r="137" spans="1:14"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c r="N137" s="11"/>
    </row>
    <row r="138" spans="1:14"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c r="N138" s="11"/>
    </row>
    <row r="139" spans="1:14"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c r="N139" s="11"/>
    </row>
    <row r="140" spans="1:14"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c r="N140" s="11"/>
    </row>
    <row r="141" spans="1:14"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c r="N141" s="11"/>
    </row>
    <row r="142" spans="1:14"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c r="N142" s="1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 2.0</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Tanishq Jain</cp:lastModifiedBy>
  <dcterms:created xsi:type="dcterms:W3CDTF">2022-05-30T01:30:00Z</dcterms:created>
  <dcterms:modified xsi:type="dcterms:W3CDTF">2025-08-05T17:28:33Z</dcterms:modified>
</cp:coreProperties>
</file>